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OI_Calculator" sheetId="2" state="visible" r:id="rId4"/>
    <sheet name="Risk_Deciles" sheetId="3" state="visible" r:id="rId5"/>
    <sheet name="Segment_Leaka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<sst xmlns="http://schemas.openxmlformats.org/spreadsheetml/2006/main" count="59" uniqueCount="55">
  <si>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Retention Campaign ROI Calculator</t>
  </si>
  <si>
    <t xml:space="preserve">PURPOSE: Decide how many at-risk customers to target with a retention offer, and whether it pays off.</t>
  </si>
  <si>
    <t xml:space="preserve">HOW TO USE</t>
  </si>
  <si>
    <t xml:space="preserve">  1. Go to 'ROI_Calculator'.</t>
  </si>
  <si>
    <t xml:space="preserve">  2. Change the YELLOW cells: how many risk deciles to target, offer cost per customer, and the offer's save rate.</t>
  </si>
  <si>
    <t xml:space="preserve">  3. Read net benefit, ROI and break-even save rate. The sensitivity table shows many scenarios at once.</t>
  </si>
  <si>
    <t xml:space="preserve">COLOUR LEGEND</t>
  </si>
  <si>
    <t xml:space="preserve">  Blue text = data from the Python churn model   |   Black = formulas   |   Yellow fill = inputs you can change</t>
  </si>
  <si>
    <t xml:space="preserve">KEY ASSUMPTIONS (editable in the Python code):</t>
  </si>
  <si>
    <t xml:space="preserve">  - Annual revenue per customer = 2% net interest margin x balance + $50 fee income per product held.</t>
  </si>
  <si>
    <t xml:space="preserve">  - Customers are ranked into 10 risk deciles by the model's churn probability (decile 10 = most likely to leave).</t>
  </si>
  <si>
    <t xml:space="preserve">  - 'Save rate' = share of would-be leavers the offer keeps. Benefit counted = 1 year of revenue only (conservative).</t>
  </si>
  <si>
    <t xml:space="preserve">  - The offer is paid for every targeted customer, including those who would have stayed anyway.</t>
  </si>
  <si>
    <t xml:space="preserve">Example: target 3 deciles, $50 per customer, 30% save rate -&gt; see the results update on 'ROI_Calculator'.</t>
  </si>
  <si>
    <t xml:space="preserve">Change the yellow cells. Everything else recalculates.</t>
  </si>
  <si>
    <t xml:space="preserve">INPUTS</t>
  </si>
  <si>
    <t xml:space="preserve">Risk deciles to target (1-10, riskiest first)</t>
  </si>
  <si>
    <t xml:space="preserve">Offer cost per targeted customer ($)</t>
  </si>
  <si>
    <t xml:space="preserve">Save rate (share of would-be leavers kept)</t>
  </si>
  <si>
    <t xml:space="preserve">RESULTS</t>
  </si>
  <si>
    <t xml:space="preserve">Customers targeted</t>
  </si>
  <si>
    <t xml:space="preserve">% of customer base targeted</t>
  </si>
  <si>
    <t xml:space="preserve">Would-be leavers inside the target group</t>
  </si>
  <si>
    <t xml:space="preserve">% of ALL churners reached</t>
  </si>
  <si>
    <t xml:space="preserve">Annual revenue of those leavers ($)</t>
  </si>
  <si>
    <t xml:space="preserve">Revenue saved by the offer ($)</t>
  </si>
  <si>
    <t xml:space="preserve">Campaign cost ($)</t>
  </si>
  <si>
    <t xml:space="preserve">NET BENEFIT ($)</t>
  </si>
  <si>
    <t xml:space="preserve">ROI (net benefit / cost)</t>
  </si>
  <si>
    <t xml:space="preserve">Break-even save rate</t>
  </si>
  <si>
    <t xml:space="preserve">Lift vs random targeting</t>
  </si>
  <si>
    <t xml:space="preserve">SENSITIVITY: Net benefit ($) at the targeting level above - save rate (down) vs cost per customer (across)</t>
  </si>
  <si>
    <t xml:space="preserve">Save rate  \  Cost per customer</t>
  </si>
  <si>
    <t xml:space="preserve">Values in (brackets) are negative = the campaign loses money at that combination.</t>
  </si>
  <si>
    <t xml:space="preserve">Customers by model risk decile (10 = most likely to churn)</t>
  </si>
  <si>
    <t xml:space="preserve">Risk Decile</t>
  </si>
  <si>
    <t xml:space="preserve">Customers</t>
  </si>
  <si>
    <t xml:space="preserve">Churners (actual)</t>
  </si>
  <si>
    <t xml:space="preserve">Annual Revenue ($)</t>
  </si>
  <si>
    <t xml:space="preserve">Revenue Lost to Churn ($)</t>
  </si>
  <si>
    <t xml:space="preserve">Churn Rate</t>
  </si>
  <si>
    <t xml:space="preserve">Share of All Churners</t>
  </si>
  <si>
    <t xml:space="preserve">Total</t>
  </si>
  <si>
    <t xml:space="preserve">Revenue leakage by customer segment (balance tier | activity)</t>
  </si>
  <si>
    <t xml:space="preserve">Segment</t>
  </si>
  <si>
    <t xml:space="preserve">Churners</t>
  </si>
  <si>
    <t xml:space="preserve">Revenue Lost ($)</t>
  </si>
  <si>
    <t xml:space="preserve">Share of Total Loss</t>
  </si>
  <si>
    <t xml:space="preserve">Cumulative Share</t>
  </si>
  <si>
    <t xml:space="preserve">100k+ | Inactive</t>
  </si>
  <si>
    <t xml:space="preserve">100k+ | Active</t>
  </si>
  <si>
    <t xml:space="preserve">&lt;100k | Inactive</t>
  </si>
  <si>
    <t xml:space="preserve">&lt;100k | Active</t>
  </si>
  <si>
    <t xml:space="preserve">No balance | Inactive</t>
  </si>
  <si>
    <t xml:space="preserve">No balance | Active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</si>
</sst>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;&quot;($&quot;#,##0\);\-"/>
    <numFmt numFmtId="167" formatCode="0.0%"/>
    <numFmt numFmtId="168" formatCode="0.0\x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1F8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risk decile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Risk_Deciles!F4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Risk_Deciles!$A$5:$A$14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Risk_Deciles!$F$5:$F$14</c:f>
              <c:numCache>
                <c:formatCode>0.0%</c:formatCode>
                <c:ptCount val="10"/>
                <c:pt idx="0">
                  <c:v>0.017</c:v>
                </c:pt>
                <c:pt idx="1">
                  <c:v>0.039</c:v>
                </c:pt>
                <c:pt idx="2">
                  <c:v>0.051</c:v>
                </c:pt>
                <c:pt idx="3">
                  <c:v>0.08</c:v>
                </c:pt>
                <c:pt idx="4">
                  <c:v>0.114</c:v>
                </c:pt>
                <c:pt idx="5">
                  <c:v>0.138</c:v>
                </c:pt>
                <c:pt idx="6">
                  <c:v>0.18</c:v>
                </c:pt>
                <c:pt idx="7">
                  <c:v>0.256</c:v>
                </c:pt>
                <c:pt idx="8">
                  <c:v>0.351</c:v>
                </c:pt>
                <c:pt idx="9">
                  <c:v>0.601</c:v>
                </c:pt>
              </c:numCache>
            </c:numRef>
          </c:val>
        </c:ser>
        <c:gapWidth val="150"/>
        <c:overlap val="0"/>
        <c:axId val="66047567"/>
        <c:axId val="72552630"/>
      </c:barChart>
      <c:catAx>
        <c:axId val="6604756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52630"/>
        <c:crosses val="autoZero"/>
        <c:auto val="1"/>
        <c:lblAlgn val="ctr"/>
        <c:lblOffset val="100"/>
        <c:noMultiLvlLbl val="0"/>
      </c:catAx>
      <c:valAx>
        <c:axId val="72552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47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lost to churn by segment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Segment_Leakage!E4</c:f>
              <c:strCache>
                <c:ptCount val="1"/>
                <c:pt idx="0">
                  <c:v>Revenue Lost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Segment_Leakage!$A$5:$A$10</c:f>
              <c:strCache>
                <c:ptCount val="6"/>
                <c:pt idx="0">
                  <c:v>100k+ | Inactive</c:v>
                </c:pt>
                <c:pt idx="1">
                  <c:v>100k+ | Active</c:v>
                </c:pt>
                <c:pt idx="2">
                  <c:v>&lt;100k | Inactive</c:v>
                </c:pt>
                <c:pt idx="3">
                  <c:v>&lt;100k | Active</c:v>
                </c:pt>
                <c:pt idx="4">
                  <c:v>No balance | Inactive</c:v>
                </c:pt>
                <c:pt idx="5">
                  <c:v>No balance | Active</c:v>
                </c:pt>
              </c:strCache>
            </c:strRef>
          </c:cat>
          <c:val>
            <c:numRef>
              <c:f>Segment_Leakage!$E$5:$E$10</c:f>
              <c:numCache>
                <c:formatCode>\$#,##0;"($"#,##0\);\-</c:formatCode>
                <c:ptCount val="6"/>
                <c:pt idx="0">
                  <c:v>1622777.0222</c:v>
                </c:pt>
                <c:pt idx="1">
                  <c:v>962859.6842</c:v>
                </c:pt>
                <c:pt idx="2">
                  <c:v>364207.5126</c:v>
                </c:pt>
                <c:pt idx="3">
                  <c:v>212184.0308</c:v>
                </c:pt>
                <c:pt idx="4">
                  <c:v>26800</c:v>
                </c:pt>
                <c:pt idx="5">
                  <c:v>11600</c:v>
                </c:pt>
              </c:numCache>
            </c:numRef>
          </c:val>
        </c:ser>
        <c:gapWidth val="150"/>
        <c:overlap val="0"/>
        <c:axId val="93987898"/>
        <c:axId val="88013722"/>
      </c:barChart>
      <c:catAx>
        <c:axId val="93987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3722"/>
        <c:crosses val="autoZero"/>
        <c:auto val="1"/>
        <c:lblAlgn val="ctr"/>
        <c:lblOffset val="100"/>
        <c:noMultiLvlLbl val="0"/>
      </c:catAx>
      <c:valAx>
        <c:axId val="88013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87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176040</xdr:rowOff>
    </xdr:from>
    <xdr:to>
      <xdr:col>4</xdr:col>
      <xdr:colOff>528480</xdr:colOff>
      <xdr:row>31</xdr:row>
      <xdr:rowOff>18000</xdr:rowOff>
    </xdr:to>
    <xdr:graphicFrame>
      <xdr:nvGraphicFramePr>
        <xdr:cNvPr id="0" name="Chart 1"/>
        <xdr:cNvGraphicFramePr/>
      </xdr:nvGraphicFramePr>
      <xdr:xfrm>
        <a:off x="0" y="34480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175680</xdr:rowOff>
    </xdr:from>
    <xdr:to>
      <xdr:col>4</xdr:col>
      <xdr:colOff>1029600</xdr:colOff>
      <xdr:row>29</xdr:row>
      <xdr:rowOff>7560</xdr:rowOff>
    </xdr:to>
    <xdr:graphicFrame>
      <xdr:nvGraphicFramePr>
        <xdr:cNvPr id="1" name="Chart 1"/>
        <xdr:cNvGraphicFramePr/>
      </xdr:nvGraphicFramePr>
      <xdr:xfrm>
        <a:off x="0" y="28764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18.55" hidden="false" customHeight="false" outlineLevel="0" collapsed="false">
      <c r="A1" s="4" t="s">
        <v>0</v>
      </c>
    </row>
    <row r="2" customFormat="false" ht="15" hidden="false" customHeight="false" outlineLevel="0" collapsed="false">
      <c r="A2" s="5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7" t="s">
        <v>16</v>
      </c>
      <c r="B5" s="8" t="n">
        <v>3</v>
      </c>
    </row>
    <row r="6" customFormat="false" ht="15" hidden="false" customHeight="false" outlineLevel="0" collapsed="false">
      <c r="A6" s="7" t="s">
        <v>17</v>
      </c>
      <c r="B6" s="9" t="n">
        <v>50</v>
      </c>
    </row>
    <row r="7" customFormat="false" ht="15" hidden="false" customHeight="false" outlineLevel="0" collapsed="false">
      <c r="A7" s="7" t="s">
        <v>18</v>
      </c>
      <c r="B7" s="10" t="n">
        <v>0.3</v>
      </c>
    </row>
    <row r="9" customFormat="false" ht="15" hidden="false" customHeight="false" outlineLevel="0" collapsed="false">
      <c r="A9" s="6" t="s">
        <v>19</v>
      </c>
    </row>
    <row r="10" customFormat="false" ht="15" hidden="false" customHeight="false" outlineLevel="0" collapsed="false">
      <c r="A10" s="11" t="s">
        <v>20</v>
      </c>
      <c r="B10" s="12" t="n">
        <f aca="false">SUMIFS(Risk_Deciles!$B$5:$B$14,Risk_Deciles!$A$5:$A$14,"&gt;="&amp;(11-$B$5))</f>
        <v>3000</v>
      </c>
    </row>
    <row r="11" customFormat="false" ht="15" hidden="false" customHeight="false" outlineLevel="0" collapsed="false">
      <c r="A11" s="11" t="s">
        <v>21</v>
      </c>
      <c r="B11" s="13" t="n">
        <f aca="false">B10/Risk_Deciles!$B$15</f>
        <v>0.3</v>
      </c>
    </row>
    <row r="12" customFormat="false" ht="15" hidden="false" customHeight="false" outlineLevel="0" collapsed="false">
      <c r="A12" s="11" t="s">
        <v>22</v>
      </c>
      <c r="B12" s="12" t="n">
        <f aca="false">SUMIFS(Risk_Deciles!$C$5:$C$14,Risk_Deciles!$A$5:$A$14,"&gt;="&amp;(11-$B$5))</f>
        <v>1208</v>
      </c>
    </row>
    <row r="13" customFormat="false" ht="15" hidden="false" customHeight="false" outlineLevel="0" collapsed="false">
      <c r="A13" s="11" t="s">
        <v>23</v>
      </c>
      <c r="B13" s="13" t="n">
        <f aca="false">B12/Risk_Deciles!$C$15</f>
        <v>0.661193212917351</v>
      </c>
    </row>
    <row r="14" customFormat="false" ht="15" hidden="false" customHeight="false" outlineLevel="0" collapsed="false">
      <c r="A14" s="11" t="s">
        <v>24</v>
      </c>
      <c r="B14" s="14" t="n">
        <f aca="false">SUMIFS(Risk_Deciles!$E$5:$E$14,Risk_Deciles!$A$5:$A$14,"&gt;="&amp;(11-$B$5))</f>
        <v>2307474.5752</v>
      </c>
    </row>
    <row r="15" customFormat="false" ht="15" hidden="false" customHeight="false" outlineLevel="0" collapsed="false">
      <c r="A15" s="11" t="s">
        <v>25</v>
      </c>
      <c r="B15" s="14" t="n">
        <f aca="false">B14*B7</f>
        <v>692242.37256</v>
      </c>
    </row>
    <row r="16" customFormat="false" ht="15" hidden="false" customHeight="false" outlineLevel="0" collapsed="false">
      <c r="A16" s="11" t="s">
        <v>26</v>
      </c>
      <c r="B16" s="14" t="n">
        <f aca="false">B10*B6</f>
        <v>150000</v>
      </c>
    </row>
    <row r="17" customFormat="false" ht="15" hidden="false" customHeight="false" outlineLevel="0" collapsed="false">
      <c r="A17" s="15" t="s">
        <v>27</v>
      </c>
      <c r="B17" s="16" t="n">
        <f aca="false">B15-B16</f>
        <v>542242.37256</v>
      </c>
    </row>
    <row r="18" customFormat="false" ht="15" hidden="false" customHeight="false" outlineLevel="0" collapsed="false">
      <c r="A18" s="11" t="s">
        <v>28</v>
      </c>
      <c r="B18" s="17" t="n">
        <f aca="false">IFERROR(B17/B16,0)</f>
        <v>3.6149491504</v>
      </c>
    </row>
    <row r="19" customFormat="false" ht="15" hidden="false" customHeight="false" outlineLevel="0" collapsed="false">
      <c r="A19" s="11" t="s">
        <v>29</v>
      </c>
      <c r="B19" s="13" t="n">
        <f aca="false">IFERROR(B16/B14,0)</f>
        <v>0.065006133377222</v>
      </c>
    </row>
    <row r="20" customFormat="false" ht="15" hidden="false" customHeight="false" outlineLevel="0" collapsed="false">
      <c r="A20" s="11" t="s">
        <v>30</v>
      </c>
      <c r="B20" s="17" t="n">
        <f aca="false">IFERROR(B13/B11,0)</f>
        <v>2.20397737639117</v>
      </c>
    </row>
    <row r="23" customFormat="false" ht="15" hidden="false" customHeight="false" outlineLevel="0" collapsed="false">
      <c r="A23" s="6" t="s">
        <v>31</v>
      </c>
    </row>
    <row r="24" customFormat="false" ht="15" hidden="false" customHeight="false" outlineLevel="0" collapsed="false">
      <c r="A24" s="15" t="s">
        <v>32</v>
      </c>
      <c r="B24" s="18" t="n">
        <v>25</v>
      </c>
      <c r="C24" s="18" t="n">
        <v>50</v>
      </c>
      <c r="D24" s="18" t="n">
        <v>75</v>
      </c>
      <c r="E24" s="18" t="n">
        <v>100</v>
      </c>
      <c r="F24" s="18" t="n">
        <v>150</v>
      </c>
    </row>
    <row r="25" customFormat="false" ht="15" hidden="false" customHeight="false" outlineLevel="0" collapsed="false">
      <c r="A25" s="19" t="n">
        <v>0.1</v>
      </c>
      <c r="B25" s="14" t="n">
        <f aca="false">$B$14*$A25-$B$10*B$24</f>
        <v>155747.45752</v>
      </c>
      <c r="C25" s="14" t="n">
        <f aca="false">$B$14*$A25-$B$10*C$24</f>
        <v>80747.4575200001</v>
      </c>
      <c r="D25" s="14" t="n">
        <f aca="false">$B$14*$A25-$B$10*D$24</f>
        <v>5747.45752000005</v>
      </c>
      <c r="E25" s="14" t="n">
        <f aca="false">$B$14*$A25-$B$10*E$24</f>
        <v>-69252.54248</v>
      </c>
      <c r="F25" s="14" t="n">
        <f aca="false">$B$14*$A25-$B$10*F$24</f>
        <v>-219252.54248</v>
      </c>
    </row>
    <row r="26" customFormat="false" ht="15" hidden="false" customHeight="false" outlineLevel="0" collapsed="false">
      <c r="A26" s="19" t="n">
        <v>0.2</v>
      </c>
      <c r="B26" s="14" t="n">
        <f aca="false">$B$14*$A26-$B$10*B$24</f>
        <v>386494.91504</v>
      </c>
      <c r="C26" s="14" t="n">
        <f aca="false">$B$14*$A26-$B$10*C$24</f>
        <v>311494.91504</v>
      </c>
      <c r="D26" s="14" t="n">
        <f aca="false">$B$14*$A26-$B$10*D$24</f>
        <v>236494.91504</v>
      </c>
      <c r="E26" s="14" t="n">
        <f aca="false">$B$14*$A26-$B$10*E$24</f>
        <v>161494.91504</v>
      </c>
      <c r="F26" s="14" t="n">
        <f aca="false">$B$14*$A26-$B$10*F$24</f>
        <v>11494.9150400001</v>
      </c>
    </row>
    <row r="27" customFormat="false" ht="15" hidden="false" customHeight="false" outlineLevel="0" collapsed="false">
      <c r="A27" s="19" t="n">
        <v>0.3</v>
      </c>
      <c r="B27" s="14" t="n">
        <f aca="false">$B$14*$A27-$B$10*B$24</f>
        <v>617242.37256</v>
      </c>
      <c r="C27" s="14" t="n">
        <f aca="false">$B$14*$A27-$B$10*C$24</f>
        <v>542242.37256</v>
      </c>
      <c r="D27" s="14" t="n">
        <f aca="false">$B$14*$A27-$B$10*D$24</f>
        <v>467242.37256</v>
      </c>
      <c r="E27" s="14" t="n">
        <f aca="false">$B$14*$A27-$B$10*E$24</f>
        <v>392242.37256</v>
      </c>
      <c r="F27" s="14" t="n">
        <f aca="false">$B$14*$A27-$B$10*F$24</f>
        <v>242242.37256</v>
      </c>
    </row>
    <row r="28" customFormat="false" ht="15" hidden="false" customHeight="false" outlineLevel="0" collapsed="false">
      <c r="A28" s="19" t="n">
        <v>0.4</v>
      </c>
      <c r="B28" s="14" t="n">
        <f aca="false">$B$14*$A28-$B$10*B$24</f>
        <v>847989.83008</v>
      </c>
      <c r="C28" s="14" t="n">
        <f aca="false">$B$14*$A28-$B$10*C$24</f>
        <v>772989.83008</v>
      </c>
      <c r="D28" s="14" t="n">
        <f aca="false">$B$14*$A28-$B$10*D$24</f>
        <v>697989.83008</v>
      </c>
      <c r="E28" s="14" t="n">
        <f aca="false">$B$14*$A28-$B$10*E$24</f>
        <v>622989.83008</v>
      </c>
      <c r="F28" s="14" t="n">
        <f aca="false">$B$14*$A28-$B$10*F$24</f>
        <v>472989.83008</v>
      </c>
    </row>
    <row r="29" customFormat="false" ht="15" hidden="false" customHeight="false" outlineLevel="0" collapsed="false">
      <c r="A29" s="19" t="n">
        <v>0.5</v>
      </c>
      <c r="B29" s="14" t="n">
        <f aca="false">$B$14*$A29-$B$10*B$24</f>
        <v>1078737.2876</v>
      </c>
      <c r="C29" s="14" t="n">
        <f aca="false">$B$14*$A29-$B$10*C$24</f>
        <v>1003737.2876</v>
      </c>
      <c r="D29" s="14" t="n">
        <f aca="false">$B$14*$A29-$B$10*D$24</f>
        <v>928737.2876</v>
      </c>
      <c r="E29" s="14" t="n">
        <f aca="false">$B$14*$A29-$B$10*E$24</f>
        <v>853737.2876</v>
      </c>
      <c r="F29" s="14" t="n">
        <f aca="false">$B$14*$A29-$B$10*F$24</f>
        <v>703737.2876</v>
      </c>
    </row>
    <row r="31" customFormat="false" ht="15" hidden="false" customHeight="false" outlineLevel="0" collapsed="false">
      <c r="A31" s="5" t="s">
        <v>33</v>
      </c>
    </row>
  </sheetData>
  <dataValidations count="2">
    <dataValidation allowBlank="false" errorStyle="stop" operator="between" showDropDown="false" showErrorMessage="false" showInputMessage="false" sqref="B5" type="whole">
      <formula1>1</formula1>
      <formula2>10</formula2>
    </dataValidation>
    <dataValidation allowBlank="false" errorStyle="stop" operator="between" showDropDown="false" showErrorMessage="false" showInputMessage="false" sqref="B7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20" t="s">
        <v>34</v>
      </c>
    </row>
    <row r="4" customFormat="false" ht="31.5" hidden="false" customHeight="true" outlineLevel="0" collapsed="false">
      <c r="A4" s="21" t="s">
        <v>35</v>
      </c>
      <c r="B4" s="21" t="s">
        <v>36</v>
      </c>
      <c r="C4" s="21" t="s">
        <v>37</v>
      </c>
      <c r="D4" s="21" t="s">
        <v>38</v>
      </c>
      <c r="E4" s="21" t="s">
        <v>39</v>
      </c>
      <c r="F4" s="21" t="s">
        <v>40</v>
      </c>
      <c r="G4" s="21" t="s">
        <v>41</v>
      </c>
    </row>
    <row r="5" customFormat="false" ht="15" hidden="false" customHeight="false" outlineLevel="0" collapsed="false">
      <c r="A5" s="22" t="n">
        <v>1</v>
      </c>
      <c r="B5" s="23" t="n">
        <v>1000</v>
      </c>
      <c r="C5" s="23" t="n">
        <v>17</v>
      </c>
      <c r="D5" s="24" t="n">
        <v>966875.4204</v>
      </c>
      <c r="E5" s="24" t="n">
        <v>12644.0998</v>
      </c>
      <c r="F5" s="13" t="n">
        <f aca="false">IFERROR(C5/B5,0)</f>
        <v>0.017</v>
      </c>
      <c r="G5" s="13" t="n">
        <f aca="false">C5/$C$15</f>
        <v>0.00930487137383689</v>
      </c>
    </row>
    <row r="6" customFormat="false" ht="15" hidden="false" customHeight="false" outlineLevel="0" collapsed="false">
      <c r="A6" s="22" t="n">
        <v>2</v>
      </c>
      <c r="B6" s="23" t="n">
        <v>1000</v>
      </c>
      <c r="C6" s="23" t="n">
        <v>39</v>
      </c>
      <c r="D6" s="24" t="n">
        <v>1584016.1628</v>
      </c>
      <c r="E6" s="24" t="n">
        <v>74774.0602</v>
      </c>
      <c r="F6" s="13" t="n">
        <f aca="false">IFERROR(C6/B6,0)</f>
        <v>0.039</v>
      </c>
      <c r="G6" s="13" t="n">
        <f aca="false">C6/$C$15</f>
        <v>0.0213464696223317</v>
      </c>
    </row>
    <row r="7" customFormat="false" ht="15" hidden="false" customHeight="false" outlineLevel="0" collapsed="false">
      <c r="A7" s="22" t="n">
        <v>3</v>
      </c>
      <c r="B7" s="23" t="n">
        <v>1000</v>
      </c>
      <c r="C7" s="23" t="n">
        <v>51</v>
      </c>
      <c r="D7" s="24" t="n">
        <v>1399333.1974</v>
      </c>
      <c r="E7" s="24" t="n">
        <v>67086.9796</v>
      </c>
      <c r="F7" s="13" t="n">
        <f aca="false">IFERROR(C7/B7,0)</f>
        <v>0.051</v>
      </c>
      <c r="G7" s="13" t="n">
        <f aca="false">C7/$C$15</f>
        <v>0.0279146141215107</v>
      </c>
    </row>
    <row r="8" customFormat="false" ht="15" hidden="false" customHeight="false" outlineLevel="0" collapsed="false">
      <c r="A8" s="22" t="n">
        <v>4</v>
      </c>
      <c r="B8" s="23" t="n">
        <v>1000</v>
      </c>
      <c r="C8" s="23" t="n">
        <v>80</v>
      </c>
      <c r="D8" s="24" t="n">
        <v>1350002.5136</v>
      </c>
      <c r="E8" s="24" t="n">
        <v>100050.8578</v>
      </c>
      <c r="F8" s="13" t="n">
        <f aca="false">IFERROR(C8/B8,0)</f>
        <v>0.08</v>
      </c>
      <c r="G8" s="13" t="n">
        <f aca="false">C8/$C$15</f>
        <v>0.0437876299945265</v>
      </c>
    </row>
    <row r="9" customFormat="false" ht="15" hidden="false" customHeight="false" outlineLevel="0" collapsed="false">
      <c r="A9" s="22" t="n">
        <v>5</v>
      </c>
      <c r="B9" s="23" t="n">
        <v>1000</v>
      </c>
      <c r="C9" s="23" t="n">
        <v>114</v>
      </c>
      <c r="D9" s="24" t="n">
        <v>1557820.8796</v>
      </c>
      <c r="E9" s="24" t="n">
        <v>170415.391</v>
      </c>
      <c r="F9" s="13" t="n">
        <f aca="false">IFERROR(C9/B9,0)</f>
        <v>0.114</v>
      </c>
      <c r="G9" s="13" t="n">
        <f aca="false">C9/$C$15</f>
        <v>0.0623973727422003</v>
      </c>
    </row>
    <row r="10" customFormat="false" ht="15" hidden="false" customHeight="false" outlineLevel="0" collapsed="false">
      <c r="A10" s="22" t="n">
        <v>6</v>
      </c>
      <c r="B10" s="23" t="n">
        <v>1000</v>
      </c>
      <c r="C10" s="23" t="n">
        <v>138</v>
      </c>
      <c r="D10" s="24" t="n">
        <v>1432066.3388</v>
      </c>
      <c r="E10" s="24" t="n">
        <v>182584.7926</v>
      </c>
      <c r="F10" s="13" t="n">
        <f aca="false">IFERROR(C10/B10,0)</f>
        <v>0.138</v>
      </c>
      <c r="G10" s="13" t="n">
        <f aca="false">C10/$C$15</f>
        <v>0.0755336617405583</v>
      </c>
    </row>
    <row r="11" customFormat="false" ht="15" hidden="false" customHeight="false" outlineLevel="0" collapsed="false">
      <c r="A11" s="22" t="n">
        <v>7</v>
      </c>
      <c r="B11" s="23" t="n">
        <v>1000</v>
      </c>
      <c r="C11" s="23" t="n">
        <v>180</v>
      </c>
      <c r="D11" s="24" t="n">
        <v>1741102.41</v>
      </c>
      <c r="E11" s="24" t="n">
        <v>285397.4936</v>
      </c>
      <c r="F11" s="13" t="n">
        <f aca="false">IFERROR(C11/B11,0)</f>
        <v>0.18</v>
      </c>
      <c r="G11" s="13" t="n">
        <f aca="false">C11/$C$15</f>
        <v>0.0985221674876847</v>
      </c>
    </row>
    <row r="12" customFormat="false" ht="15" hidden="false" customHeight="false" outlineLevel="0" collapsed="false">
      <c r="A12" s="22" t="n">
        <v>8</v>
      </c>
      <c r="B12" s="23" t="n">
        <v>1000</v>
      </c>
      <c r="C12" s="23" t="n">
        <v>256</v>
      </c>
      <c r="D12" s="24" t="n">
        <v>1628465.6918</v>
      </c>
      <c r="E12" s="24" t="n">
        <v>401686.8278</v>
      </c>
      <c r="F12" s="13" t="n">
        <f aca="false">IFERROR(C12/B12,0)</f>
        <v>0.256</v>
      </c>
      <c r="G12" s="13" t="n">
        <f aca="false">C12/$C$15</f>
        <v>0.140120415982485</v>
      </c>
    </row>
    <row r="13" customFormat="false" ht="15" hidden="false" customHeight="false" outlineLevel="0" collapsed="false">
      <c r="A13" s="22" t="n">
        <v>9</v>
      </c>
      <c r="B13" s="23" t="n">
        <v>1000</v>
      </c>
      <c r="C13" s="23" t="n">
        <v>351</v>
      </c>
      <c r="D13" s="24" t="n">
        <v>1819536.0562</v>
      </c>
      <c r="E13" s="24" t="n">
        <v>645175.6426</v>
      </c>
      <c r="F13" s="13" t="n">
        <f aca="false">IFERROR(C13/B13,0)</f>
        <v>0.351</v>
      </c>
      <c r="G13" s="13" t="n">
        <f aca="false">C13/$C$15</f>
        <v>0.192118226600985</v>
      </c>
    </row>
    <row r="14" customFormat="false" ht="15" hidden="false" customHeight="false" outlineLevel="0" collapsed="false">
      <c r="A14" s="22" t="n">
        <v>10</v>
      </c>
      <c r="B14" s="23" t="n">
        <v>1000</v>
      </c>
      <c r="C14" s="23" t="n">
        <v>601</v>
      </c>
      <c r="D14" s="24" t="n">
        <v>2106804.4528</v>
      </c>
      <c r="E14" s="24" t="n">
        <v>1260612.1048</v>
      </c>
      <c r="F14" s="13" t="n">
        <f aca="false">IFERROR(C14/B14,0)</f>
        <v>0.601</v>
      </c>
      <c r="G14" s="13" t="n">
        <f aca="false">C14/$C$15</f>
        <v>0.328954570333881</v>
      </c>
    </row>
    <row r="15" customFormat="false" ht="15" hidden="false" customHeight="false" outlineLevel="0" collapsed="false">
      <c r="A15" s="15" t="s">
        <v>42</v>
      </c>
      <c r="B15" s="25" t="n">
        <f aca="false">SUM(B5:B14)</f>
        <v>10000</v>
      </c>
      <c r="C15" s="25" t="n">
        <f aca="false">SUM(C5:C14)</f>
        <v>1827</v>
      </c>
      <c r="D15" s="16" t="n">
        <f aca="false">SUM(D5:D14)</f>
        <v>15586023.1234</v>
      </c>
      <c r="E15" s="16" t="n">
        <f aca="false">SUM(E5:E14)</f>
        <v>3200428.2498</v>
      </c>
      <c r="F15" s="26" t="n">
        <f aca="false">IFERROR(C15/B15,0)</f>
        <v>0.1827</v>
      </c>
      <c r="G15" s="26" t="n">
        <f aca="false">SUM(G5:G14)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20" t="s">
        <v>43</v>
      </c>
    </row>
    <row r="4" customFormat="false" ht="31.5" hidden="false" customHeight="true" outlineLevel="0" collapsed="false">
      <c r="A4" s="21" t="s">
        <v>44</v>
      </c>
      <c r="B4" s="21" t="s">
        <v>36</v>
      </c>
      <c r="C4" s="21" t="s">
        <v>45</v>
      </c>
      <c r="D4" s="21" t="s">
        <v>40</v>
      </c>
      <c r="E4" s="21" t="s">
        <v>46</v>
      </c>
      <c r="F4" s="21" t="s">
        <v>47</v>
      </c>
      <c r="G4" s="21" t="s">
        <v>48</v>
      </c>
    </row>
    <row r="5" customFormat="false" ht="15" hidden="false" customHeight="false" outlineLevel="0" collapsed="false">
      <c r="A5" s="7" t="s">
        <v>49</v>
      </c>
      <c r="B5" s="23" t="n">
        <v>2198</v>
      </c>
      <c r="C5" s="23" t="n">
        <v>598</v>
      </c>
      <c r="D5" s="13" t="n">
        <f aca="false">IFERROR(C5/B5,0)</f>
        <v>0.272065514103731</v>
      </c>
      <c r="E5" s="24" t="n">
        <v>1622777.0222</v>
      </c>
      <c r="F5" s="13" t="n">
        <f aca="false">E5/$E$11</f>
        <v>0.507049961923505</v>
      </c>
      <c r="G5" s="13" t="n">
        <f aca="false">SUM($F$5:F5)</f>
        <v>0.507049961923505</v>
      </c>
    </row>
    <row r="6" customFormat="false" ht="15" hidden="false" customHeight="false" outlineLevel="0" collapsed="false">
      <c r="A6" s="7" t="s">
        <v>50</v>
      </c>
      <c r="B6" s="23" t="n">
        <v>2396</v>
      </c>
      <c r="C6" s="23" t="n">
        <v>357</v>
      </c>
      <c r="D6" s="13" t="n">
        <f aca="false">IFERROR(C6/B6,0)</f>
        <v>0.148998330550918</v>
      </c>
      <c r="E6" s="24" t="n">
        <v>962859.6842</v>
      </c>
      <c r="F6" s="13" t="n">
        <f aca="false">E6/$E$11</f>
        <v>0.300853388686396</v>
      </c>
      <c r="G6" s="13" t="n">
        <f aca="false">SUM($F$5:F6)</f>
        <v>0.807903350609901</v>
      </c>
    </row>
    <row r="7" customFormat="false" ht="15" hidden="false" customHeight="false" outlineLevel="0" collapsed="false">
      <c r="A7" s="7" t="s">
        <v>51</v>
      </c>
      <c r="B7" s="23" t="n">
        <v>779</v>
      </c>
      <c r="C7" s="23" t="n">
        <v>211</v>
      </c>
      <c r="D7" s="13" t="n">
        <f aca="false">IFERROR(C7/B7,0)</f>
        <v>0.270860077021823</v>
      </c>
      <c r="E7" s="24" t="n">
        <v>364207.5126</v>
      </c>
      <c r="F7" s="13" t="n">
        <f aca="false">E7/$E$11</f>
        <v>0.113799618105096</v>
      </c>
      <c r="G7" s="13" t="n">
        <f aca="false">SUM($F$5:F7)</f>
        <v>0.921702968714997</v>
      </c>
    </row>
    <row r="8" customFormat="false" ht="15" hidden="false" customHeight="false" outlineLevel="0" collapsed="false">
      <c r="A8" s="7" t="s">
        <v>52</v>
      </c>
      <c r="B8" s="23" t="n">
        <v>846</v>
      </c>
      <c r="C8" s="23" t="n">
        <v>123</v>
      </c>
      <c r="D8" s="13" t="n">
        <f aca="false">IFERROR(C8/B8,0)</f>
        <v>0.145390070921986</v>
      </c>
      <c r="E8" s="24" t="n">
        <v>212184.0308</v>
      </c>
      <c r="F8" s="13" t="n">
        <f aca="false">E8/$E$11</f>
        <v>0.066298637006863</v>
      </c>
      <c r="G8" s="13" t="n">
        <f aca="false">SUM($F$5:F8)</f>
        <v>0.98800160572186</v>
      </c>
    </row>
    <row r="9" customFormat="false" ht="15" hidden="false" customHeight="false" outlineLevel="0" collapsed="false">
      <c r="A9" s="7" t="s">
        <v>53</v>
      </c>
      <c r="B9" s="23" t="n">
        <v>1830</v>
      </c>
      <c r="C9" s="23" t="n">
        <v>365</v>
      </c>
      <c r="D9" s="13" t="n">
        <f aca="false">IFERROR(C9/B9,0)</f>
        <v>0.199453551912568</v>
      </c>
      <c r="E9" s="24" t="n">
        <v>26800</v>
      </c>
      <c r="F9" s="13" t="n">
        <f aca="false">E9/$E$11</f>
        <v>0.00837387933995233</v>
      </c>
      <c r="G9" s="13" t="n">
        <f aca="false">SUM($F$5:F9)</f>
        <v>0.996375485061812</v>
      </c>
    </row>
    <row r="10" customFormat="false" ht="15" hidden="false" customHeight="false" outlineLevel="0" collapsed="false">
      <c r="A10" s="7" t="s">
        <v>54</v>
      </c>
      <c r="B10" s="23" t="n">
        <v>1951</v>
      </c>
      <c r="C10" s="23" t="n">
        <v>173</v>
      </c>
      <c r="D10" s="13" t="n">
        <f aca="false">IFERROR(C10/B10,0)</f>
        <v>0.088672475653511</v>
      </c>
      <c r="E10" s="24" t="n">
        <v>11600</v>
      </c>
      <c r="F10" s="13" t="n">
        <f aca="false">E10/$E$11</f>
        <v>0.00362451493818832</v>
      </c>
      <c r="G10" s="13" t="n">
        <f aca="false">SUM($F$5:F10)</f>
        <v>1</v>
      </c>
    </row>
    <row r="11" customFormat="false" ht="15" hidden="false" customHeight="false" outlineLevel="0" collapsed="false">
      <c r="A11" s="15" t="s">
        <v>42</v>
      </c>
      <c r="B11" s="25" t="n">
        <f aca="false">SUM(B5:B10)</f>
        <v>10000</v>
      </c>
      <c r="C11" s="25" t="n">
        <f aca="false">SUM(C5:C10)</f>
        <v>1827</v>
      </c>
      <c r="D11" s="26" t="n">
        <f aca="false">IFERROR(C11/B11,0)</f>
        <v>0.1827</v>
      </c>
      <c r="E11" s="16" t="n">
        <f aca="false">SUM(E5:E10)</f>
        <v>3200428.2498</v>
      </c>
      <c r="F11" s="26" t="n">
        <f aca="false">SUM(F5:F10)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2026-10-07T16:08:11Z</dcterms:created>
  <dc:creator>openpyxl</dc:creator>
  <dc:description/>
  <dc:language>en-US</dc:language>
  <cp:lastModifiedBy/>
  <dcterms:modified xsi:type="dcterms:W3CDTF">2026-10-07T16:08:22Z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